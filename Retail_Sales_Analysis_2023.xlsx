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nthly Trends" sheetId="2" state="visible" r:id="rId2"/>
    <sheet xmlns:r="http://schemas.openxmlformats.org/officeDocument/2006/relationships" name="Category Analysis" sheetId="3" state="visible" r:id="rId3"/>
    <sheet xmlns:r="http://schemas.openxmlformats.org/officeDocument/2006/relationships" name="Customer Segments" sheetId="4" state="visible" r:id="rId4"/>
    <sheet xmlns:r="http://schemas.openxmlformats.org/officeDocument/2006/relationships" name="City 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"/>
    <numFmt numFmtId="165" formatCode="0.0%"/>
    <numFmt numFmtId="166" formatCode="0.0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0D6E6E"/>
      <sz val="10"/>
    </font>
    <font>
      <name val="Calibri"/>
      <b val="1"/>
      <color rgb="00FFFFFF"/>
      <sz val="10"/>
    </font>
    <font>
      <name val="Calibri"/>
      <b val="1"/>
      <color rgb="001B3A6B"/>
      <sz val="16"/>
    </font>
    <font>
      <name val="Calibri"/>
      <b val="1"/>
      <color rgb="000D6E6E"/>
      <sz val="16"/>
    </font>
    <font>
      <name val="Calibri"/>
      <b val="1"/>
      <color rgb="002E7D32"/>
      <sz val="16"/>
    </font>
    <font>
      <name val="Calibri"/>
      <b val="1"/>
      <color rgb="006A1B9A"/>
      <sz val="16"/>
    </font>
    <font>
      <name val="Calibri"/>
      <b val="1"/>
      <color rgb="00E65100"/>
      <sz val="16"/>
    </font>
    <font>
      <name val="Calibri"/>
      <b val="1"/>
      <color rgb="00B71C1C"/>
      <sz val="16"/>
    </font>
    <font>
      <name val="Calibri"/>
      <b val="1"/>
      <color rgb="00FFFFFF"/>
      <sz val="11"/>
    </font>
    <font>
      <name val="Calibri"/>
      <color rgb="00212121"/>
      <sz val="10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i val="1"/>
      <color rgb="000D6E6E"/>
      <sz val="9"/>
    </font>
  </fonts>
  <fills count="10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0F4FA"/>
      </patternFill>
    </fill>
    <fill>
      <patternFill patternType="solid">
        <fgColor rgb="000D6E6E"/>
      </patternFill>
    </fill>
    <fill>
      <patternFill patternType="solid">
        <fgColor rgb="002E7D32"/>
      </patternFill>
    </fill>
    <fill>
      <patternFill patternType="solid">
        <fgColor rgb="006A1B9A"/>
      </patternFill>
    </fill>
    <fill>
      <patternFill patternType="solid">
        <fgColor rgb="00E65100"/>
      </patternFill>
    </fill>
    <fill>
      <patternFill patternType="solid">
        <fgColor rgb="00B71C1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left" vertical="center" indent="1"/>
    </xf>
    <xf numFmtId="0" fontId="11" fillId="9" borderId="0" applyAlignment="1" pivotButton="0" quotePrefix="0" xfId="0">
      <alignment horizontal="left" vertical="center" indent="1"/>
    </xf>
    <xf numFmtId="0" fontId="11" fillId="3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3" fontId="14" fillId="0" borderId="1" applyAlignment="1" pivotButton="0" quotePrefix="0" xfId="0">
      <alignment horizontal="right" vertical="center"/>
    </xf>
    <xf numFmtId="164" fontId="14" fillId="0" borderId="1" applyAlignment="1" pivotButton="0" quotePrefix="0" xfId="0">
      <alignment horizontal="right" vertical="center"/>
    </xf>
    <xf numFmtId="165" fontId="14" fillId="0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3" fontId="14" fillId="3" borderId="1" applyAlignment="1" pivotButton="0" quotePrefix="0" xfId="0">
      <alignment horizontal="right" vertical="center"/>
    </xf>
    <xf numFmtId="164" fontId="14" fillId="3" borderId="1" applyAlignment="1" pivotButton="0" quotePrefix="0" xfId="0">
      <alignment horizontal="right" vertical="center"/>
    </xf>
    <xf numFmtId="165" fontId="14" fillId="3" borderId="1" applyAlignment="1" pivotButton="0" quotePrefix="0" xfId="0">
      <alignment horizontal="right" vertical="center"/>
    </xf>
    <xf numFmtId="0" fontId="14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vertical="center" indent="1"/>
    </xf>
    <xf numFmtId="166" fontId="14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 indent="1"/>
    </xf>
    <xf numFmtId="166" fontId="14" fillId="3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indent="1"/>
    </xf>
    <xf numFmtId="0" fontId="3" fillId="7" borderId="1" applyAlignment="1" pivotButton="0" quotePrefix="0" xfId="0">
      <alignment horizontal="left" vertical="center" indent="1"/>
    </xf>
    <xf numFmtId="0" fontId="3" fillId="8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&amp; Profit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Trends'!D2</f>
            </strRef>
          </tx>
          <spPr>
            <a:ln xmlns:a="http://schemas.openxmlformats.org/drawingml/2006/main">
              <a:solidFill>
                <a:srgbClr val="1B3A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Trends'!$B$3:$B$14</f>
            </numRef>
          </cat>
          <val>
            <numRef>
              <f>'Monthly Trends'!$D$3:$D$14</f>
            </numRef>
          </val>
        </ser>
        <ser>
          <idx val="1"/>
          <order val="1"/>
          <tx>
            <strRef>
              <f>'Monthly Trends'!E2</f>
            </strRef>
          </tx>
          <spPr>
            <a:ln xmlns:a="http://schemas.openxmlformats.org/drawingml/2006/main">
              <a:solidFill>
                <a:srgbClr val="0D6E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Trends'!$B$3:$B$14</f>
            </numRef>
          </cat>
          <val>
            <numRef>
              <f>'Monthly Trends'!$E$3:$E$14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 Analysis'!D2</f>
            </strRef>
          </tx>
          <spPr>
            <a:solidFill xmlns:a="http://schemas.openxmlformats.org/drawingml/2006/main">
              <a:srgbClr val="1B3A6B"/>
            </a:solidFill>
            <a:ln xmlns:a="http://schemas.openxmlformats.org/drawingml/2006/main">
              <a:prstDash val="solid"/>
            </a:ln>
          </spPr>
          <cat>
            <numRef>
              <f>'Category Analysis'!$B$3:$B$10</f>
            </numRef>
          </cat>
          <val>
            <numRef>
              <f>'Category Analysis'!$D$3:$D$10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Segment</a:t>
            </a:r>
          </a:p>
        </rich>
      </tx>
    </title>
    <plotArea>
      <pieChart>
        <varyColors val="1"/>
        <ser>
          <idx val="0"/>
          <order val="0"/>
          <tx>
            <strRef>
              <f>'Customer Segments'!F3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'Customer Segments'!$B$4:$B$8</f>
            </numRef>
          </cat>
          <val>
            <numRef>
              <f>'Customer Segments'!$F$4:$F$8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16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14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11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0" customWidth="1" min="3" max="3"/>
    <col width="22" customWidth="1" min="4" max="4"/>
    <col width="20" customWidth="1" min="5" max="5"/>
    <col width="22" customWidth="1" min="6" max="6"/>
    <col width="20" customWidth="1" min="7" max="7"/>
    <col width="3" customWidth="1" min="8" max="8"/>
  </cols>
  <sheetData>
    <row r="1" ht="20" customHeight="1"/>
    <row r="2" ht="35" customHeight="1">
      <c r="B2" s="1" t="inlineStr">
        <is>
          <t>RETAIL SALES ANALYSIS — FY 2023</t>
        </is>
      </c>
    </row>
    <row r="3" ht="18" customHeight="1">
      <c r="B3" s="2" t="inlineStr">
        <is>
          <t>Indian Retail Market  |  January 2023 – December 2023  |  Analyst: Deepthi Gaddameedi</t>
        </is>
      </c>
    </row>
    <row r="5" ht="40" customHeight="1">
      <c r="B5" s="3" t="inlineStr">
        <is>
          <t>Total Revenue</t>
        </is>
      </c>
      <c r="D5" s="4" t="inlineStr">
        <is>
          <t>Total Profit</t>
        </is>
      </c>
      <c r="F5" s="5" t="inlineStr">
        <is>
          <t>Profit Margin</t>
        </is>
      </c>
    </row>
    <row r="6" ht="32" customHeight="1">
      <c r="B6" s="6" t="inlineStr">
        <is>
          <t>₹4.05 Cr</t>
        </is>
      </c>
      <c r="D6" s="7" t="inlineStr">
        <is>
          <t>₹1.58 Cr</t>
        </is>
      </c>
      <c r="F6" s="8" t="inlineStr">
        <is>
          <t>39.1%</t>
        </is>
      </c>
    </row>
    <row r="9" ht="40" customHeight="1">
      <c r="B9" s="9" t="inlineStr">
        <is>
          <t>Total Orders</t>
        </is>
      </c>
      <c r="D9" s="10" t="inlineStr">
        <is>
          <t>Customers Served</t>
        </is>
      </c>
      <c r="F9" s="11" t="inlineStr">
        <is>
          <t>Avg Order Value</t>
        </is>
      </c>
    </row>
    <row r="10" ht="32" customHeight="1">
      <c r="B10" s="12" t="inlineStr">
        <is>
          <t>1,690</t>
        </is>
      </c>
      <c r="D10" s="13" t="inlineStr">
        <is>
          <t>492</t>
        </is>
      </c>
      <c r="F10" s="14" t="inlineStr">
        <is>
          <t>₹23,955</t>
        </is>
      </c>
    </row>
    <row r="14" ht="22" customHeight="1">
      <c r="B14" s="15" t="inlineStr">
        <is>
          <t>KEY FINDINGS</t>
        </is>
      </c>
    </row>
    <row r="15" ht="20" customHeight="1">
      <c r="B15" s="16" t="inlineStr">
        <is>
          <t>1.  Electronics drives 61% of total revenue but Books and Grocery have thinnest margins</t>
        </is>
      </c>
    </row>
    <row r="16" ht="20" customHeight="1">
      <c r="B16" s="17" t="inlineStr">
        <is>
          <t>2.  Q4 (Oct–Dec) contributed 50% of annual revenue — strong seasonal concentration</t>
        </is>
      </c>
    </row>
    <row r="17" ht="20" customHeight="1">
      <c r="B17" s="16" t="inlineStr">
        <is>
          <t>3.  Champions segment (155 customers, 31%) generates 51% of total customer spend</t>
        </is>
      </c>
    </row>
    <row r="18" ht="20" customHeight="1">
      <c r="B18" s="17" t="inlineStr">
        <is>
          <t>4.  Mobile App is highest-revenue channel; Store channel has highest average order value</t>
        </is>
      </c>
    </row>
    <row r="19" ht="20" customHeight="1">
      <c r="B19" s="16" t="inlineStr">
        <is>
          <t>5.  Chennai leads revenue across all cities; Bengaluru has lowest customer count — growth opportunity</t>
        </is>
      </c>
    </row>
    <row r="20" ht="20" customHeight="1">
      <c r="B20" s="17" t="inlineStr">
        <is>
          <t>6.  Return rate 13% — Electronics returns warrant further investigation to protect margin</t>
        </is>
      </c>
    </row>
  </sheetData>
  <mergeCells count="21">
    <mergeCell ref="B2:G2"/>
    <mergeCell ref="D10:E10"/>
    <mergeCell ref="F10:G10"/>
    <mergeCell ref="B14:G14"/>
    <mergeCell ref="B17:G17"/>
    <mergeCell ref="F6:G6"/>
    <mergeCell ref="D6:E6"/>
    <mergeCell ref="B19:G19"/>
    <mergeCell ref="F5:G5"/>
    <mergeCell ref="B15:G15"/>
    <mergeCell ref="B20:G20"/>
    <mergeCell ref="B10:C10"/>
    <mergeCell ref="B9:C9"/>
    <mergeCell ref="D9:E9"/>
    <mergeCell ref="F9:G9"/>
    <mergeCell ref="B3:G3"/>
    <mergeCell ref="B16:G16"/>
    <mergeCell ref="B6:C6"/>
    <mergeCell ref="B5:C5"/>
    <mergeCell ref="D5:E5"/>
    <mergeCell ref="B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16" customWidth="1" min="4" max="4"/>
    <col width="14" customWidth="1" min="5" max="5"/>
    <col width="18" customWidth="1" min="6" max="6"/>
    <col width="16" customWidth="1" min="7" max="7"/>
    <col width="3" customWidth="1" min="8" max="8"/>
  </cols>
  <sheetData>
    <row r="1" ht="28" customHeight="1">
      <c r="B1" s="18" t="inlineStr">
        <is>
          <t>Monthly Revenue &amp; Profit Trend — 2023</t>
        </is>
      </c>
    </row>
    <row r="2" ht="22" customHeight="1">
      <c r="B2" s="19" t="inlineStr">
        <is>
          <t>Month</t>
        </is>
      </c>
      <c r="C2" s="19" t="inlineStr">
        <is>
          <t>Orders</t>
        </is>
      </c>
      <c r="D2" s="19" t="inlineStr">
        <is>
          <t>Revenue (₹)</t>
        </is>
      </c>
      <c r="E2" s="19" t="inlineStr">
        <is>
          <t>Profit (₹)</t>
        </is>
      </c>
      <c r="F2" s="19" t="inlineStr">
        <is>
          <t>Margin %</t>
        </is>
      </c>
      <c r="G2" s="19" t="inlineStr">
        <is>
          <t>MoM Revenue Growth</t>
        </is>
      </c>
    </row>
    <row r="3" ht="18" customHeight="1">
      <c r="B3" s="20" t="inlineStr">
        <is>
          <t>Jan</t>
        </is>
      </c>
      <c r="C3" s="21" t="n">
        <v>9</v>
      </c>
      <c r="D3" s="22" t="n">
        <v>345886</v>
      </c>
      <c r="E3" s="22" t="n">
        <v>120108</v>
      </c>
      <c r="F3" s="23" t="n">
        <v>0.347</v>
      </c>
      <c r="G3" s="24" t="inlineStr"/>
    </row>
    <row r="4" ht="18" customHeight="1">
      <c r="B4" s="25" t="inlineStr">
        <is>
          <t>Feb</t>
        </is>
      </c>
      <c r="C4" s="26" t="n">
        <v>19</v>
      </c>
      <c r="D4" s="27" t="n">
        <v>478821</v>
      </c>
      <c r="E4" s="27" t="n">
        <v>193217</v>
      </c>
      <c r="F4" s="28" t="n">
        <v>0.404</v>
      </c>
      <c r="G4" s="29" t="inlineStr">
        <is>
          <t>38.4%</t>
        </is>
      </c>
    </row>
    <row r="5" ht="18" customHeight="1">
      <c r="B5" s="20" t="inlineStr">
        <is>
          <t>Mar</t>
        </is>
      </c>
      <c r="C5" s="21" t="n">
        <v>33</v>
      </c>
      <c r="D5" s="22" t="n">
        <v>808103</v>
      </c>
      <c r="E5" s="22" t="n">
        <v>298961</v>
      </c>
      <c r="F5" s="23" t="n">
        <v>0.37</v>
      </c>
      <c r="G5" s="24" t="inlineStr">
        <is>
          <t>68.8%</t>
        </is>
      </c>
    </row>
    <row r="6" ht="18" customHeight="1">
      <c r="B6" s="25" t="inlineStr">
        <is>
          <t>Apr</t>
        </is>
      </c>
      <c r="C6" s="26" t="n">
        <v>62</v>
      </c>
      <c r="D6" s="27" t="n">
        <v>1849369</v>
      </c>
      <c r="E6" s="27" t="n">
        <v>681280</v>
      </c>
      <c r="F6" s="28" t="n">
        <v>0.368</v>
      </c>
      <c r="G6" s="29" t="inlineStr">
        <is>
          <t>128.9%</t>
        </is>
      </c>
    </row>
    <row r="7" ht="18" customHeight="1">
      <c r="B7" s="20" t="inlineStr">
        <is>
          <t>May</t>
        </is>
      </c>
      <c r="C7" s="21" t="n">
        <v>86</v>
      </c>
      <c r="D7" s="22" t="n">
        <v>1858628</v>
      </c>
      <c r="E7" s="22" t="n">
        <v>737265</v>
      </c>
      <c r="F7" s="23" t="n">
        <v>0.397</v>
      </c>
      <c r="G7" s="24" t="inlineStr">
        <is>
          <t>0.5%</t>
        </is>
      </c>
    </row>
    <row r="8" ht="18" customHeight="1">
      <c r="B8" s="25" t="inlineStr">
        <is>
          <t>Jun</t>
        </is>
      </c>
      <c r="C8" s="26" t="n">
        <v>101</v>
      </c>
      <c r="D8" s="27" t="n">
        <v>2418493</v>
      </c>
      <c r="E8" s="27" t="n">
        <v>931989</v>
      </c>
      <c r="F8" s="28" t="n">
        <v>0.385</v>
      </c>
      <c r="G8" s="29" t="inlineStr">
        <is>
          <t>30.1%</t>
        </is>
      </c>
    </row>
    <row r="9" ht="18" customHeight="1">
      <c r="B9" s="20" t="inlineStr">
        <is>
          <t>Jul</t>
        </is>
      </c>
      <c r="C9" s="21" t="n">
        <v>146</v>
      </c>
      <c r="D9" s="22" t="n">
        <v>3653678</v>
      </c>
      <c r="E9" s="22" t="n">
        <v>1498918</v>
      </c>
      <c r="F9" s="23" t="n">
        <v>0.41</v>
      </c>
      <c r="G9" s="24" t="inlineStr">
        <is>
          <t>51.1%</t>
        </is>
      </c>
    </row>
    <row r="10" ht="18" customHeight="1">
      <c r="B10" s="25" t="inlineStr">
        <is>
          <t>Aug</t>
        </is>
      </c>
      <c r="C10" s="26" t="n">
        <v>178</v>
      </c>
      <c r="D10" s="27" t="n">
        <v>4295811</v>
      </c>
      <c r="E10" s="27" t="n">
        <v>1702910</v>
      </c>
      <c r="F10" s="28" t="n">
        <v>0.396</v>
      </c>
      <c r="G10" s="29" t="inlineStr">
        <is>
          <t>17.6%</t>
        </is>
      </c>
    </row>
    <row r="11" ht="18" customHeight="1">
      <c r="B11" s="20" t="inlineStr">
        <is>
          <t>Sep</t>
        </is>
      </c>
      <c r="C11" s="21" t="n">
        <v>212</v>
      </c>
      <c r="D11" s="22" t="n">
        <v>4260288</v>
      </c>
      <c r="E11" s="22" t="n">
        <v>1700316</v>
      </c>
      <c r="F11" s="23" t="n">
        <v>0.399</v>
      </c>
      <c r="G11" s="24" t="inlineStr">
        <is>
          <t>-0.8%</t>
        </is>
      </c>
    </row>
    <row r="12" ht="18" customHeight="1">
      <c r="B12" s="25" t="inlineStr">
        <is>
          <t>Oct</t>
        </is>
      </c>
      <c r="C12" s="26" t="n">
        <v>271</v>
      </c>
      <c r="D12" s="27" t="n">
        <v>7447989</v>
      </c>
      <c r="E12" s="27" t="n">
        <v>2861870</v>
      </c>
      <c r="F12" s="28" t="n">
        <v>0.384</v>
      </c>
      <c r="G12" s="29" t="inlineStr">
        <is>
          <t>74.8%</t>
        </is>
      </c>
    </row>
    <row r="13" ht="18" customHeight="1">
      <c r="B13" s="20" t="inlineStr">
        <is>
          <t>Nov</t>
        </is>
      </c>
      <c r="C13" s="21" t="n">
        <v>307</v>
      </c>
      <c r="D13" s="22" t="n">
        <v>6728049</v>
      </c>
      <c r="E13" s="22" t="n">
        <v>2621404</v>
      </c>
      <c r="F13" s="23" t="n">
        <v>0.39</v>
      </c>
      <c r="G13" s="24" t="inlineStr">
        <is>
          <t>-9.7%</t>
        </is>
      </c>
    </row>
    <row r="14" ht="18" customHeight="1">
      <c r="B14" s="25" t="inlineStr">
        <is>
          <t>Dec</t>
        </is>
      </c>
      <c r="C14" s="26" t="n">
        <v>266</v>
      </c>
      <c r="D14" s="27" t="n">
        <v>6339203</v>
      </c>
      <c r="E14" s="27" t="n">
        <v>2479267</v>
      </c>
      <c r="F14" s="28" t="n">
        <v>0.391</v>
      </c>
      <c r="G14" s="29" t="inlineStr">
        <is>
          <t>-5.8%</t>
        </is>
      </c>
    </row>
  </sheetData>
  <mergeCells count="1">
    <mergeCell ref="B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16" customWidth="1" min="4" max="4"/>
    <col width="14" customWidth="1" min="5" max="5"/>
    <col width="14" customWidth="1" min="6" max="6"/>
    <col width="16" customWidth="1" min="7" max="7"/>
    <col width="3" customWidth="1" min="8" max="8"/>
  </cols>
  <sheetData>
    <row r="1" ht="28" customHeight="1">
      <c r="B1" s="18" t="inlineStr">
        <is>
          <t>Revenue &amp; Profitability by Product Category</t>
        </is>
      </c>
    </row>
    <row r="2">
      <c r="B2" s="19" t="inlineStr">
        <is>
          <t>Category</t>
        </is>
      </c>
      <c r="C2" s="19" t="inlineStr">
        <is>
          <t>Orders</t>
        </is>
      </c>
      <c r="D2" s="19" t="inlineStr">
        <is>
          <t>Revenue (₹)</t>
        </is>
      </c>
      <c r="E2" s="19" t="inlineStr">
        <is>
          <t>Profit (₹)</t>
        </is>
      </c>
      <c r="F2" s="19" t="inlineStr">
        <is>
          <t>Margin %</t>
        </is>
      </c>
      <c r="G2" s="19" t="inlineStr">
        <is>
          <t>Avg Discount %</t>
        </is>
      </c>
    </row>
    <row r="3" ht="18" customHeight="1">
      <c r="B3" s="30" t="inlineStr">
        <is>
          <t>Electronics</t>
        </is>
      </c>
      <c r="C3" s="21" t="n">
        <v>465</v>
      </c>
      <c r="D3" s="22" t="n">
        <v>24703405</v>
      </c>
      <c r="E3" s="22" t="n">
        <v>9546608</v>
      </c>
      <c r="F3" s="23" t="n">
        <v>0.386</v>
      </c>
      <c r="G3" s="23" t="n">
        <v>0.03</v>
      </c>
    </row>
    <row r="4" ht="18" customHeight="1">
      <c r="B4" s="31" t="inlineStr">
        <is>
          <t>Beauty</t>
        </is>
      </c>
      <c r="C4" s="26" t="n">
        <v>516</v>
      </c>
      <c r="D4" s="27" t="n">
        <v>3539747</v>
      </c>
      <c r="E4" s="27" t="n">
        <v>1421277</v>
      </c>
      <c r="F4" s="28" t="n">
        <v>0.402</v>
      </c>
      <c r="G4" s="28" t="n">
        <v>0.033</v>
      </c>
    </row>
    <row r="5" ht="18" customHeight="1">
      <c r="B5" s="30" t="inlineStr">
        <is>
          <t>Home &amp; Kitchen</t>
        </is>
      </c>
      <c r="C5" s="21" t="n">
        <v>463</v>
      </c>
      <c r="D5" s="22" t="n">
        <v>3213983</v>
      </c>
      <c r="E5" s="22" t="n">
        <v>1263135</v>
      </c>
      <c r="F5" s="23" t="n">
        <v>0.393</v>
      </c>
      <c r="G5" s="23" t="n">
        <v>0.033</v>
      </c>
    </row>
    <row r="6" ht="18" customHeight="1">
      <c r="B6" s="31" t="inlineStr">
        <is>
          <t>Sports</t>
        </is>
      </c>
      <c r="C6" s="26" t="n">
        <v>517</v>
      </c>
      <c r="D6" s="27" t="n">
        <v>3154665</v>
      </c>
      <c r="E6" s="27" t="n">
        <v>1260082</v>
      </c>
      <c r="F6" s="28" t="n">
        <v>0.399</v>
      </c>
      <c r="G6" s="28" t="n">
        <v>0.031</v>
      </c>
    </row>
    <row r="7" ht="18" customHeight="1">
      <c r="B7" s="30" t="inlineStr">
        <is>
          <t>Clothing</t>
        </is>
      </c>
      <c r="C7" s="21" t="n">
        <v>514</v>
      </c>
      <c r="D7" s="22" t="n">
        <v>2695497</v>
      </c>
      <c r="E7" s="22" t="n">
        <v>1098592</v>
      </c>
      <c r="F7" s="23" t="n">
        <v>0.408</v>
      </c>
      <c r="G7" s="23" t="n">
        <v>0.034</v>
      </c>
    </row>
    <row r="8" ht="18" customHeight="1">
      <c r="B8" s="31" t="inlineStr">
        <is>
          <t>Toys</t>
        </is>
      </c>
      <c r="C8" s="26" t="n">
        <v>345</v>
      </c>
      <c r="D8" s="27" t="n">
        <v>2132639</v>
      </c>
      <c r="E8" s="27" t="n">
        <v>834525</v>
      </c>
      <c r="F8" s="28" t="n">
        <v>0.391</v>
      </c>
      <c r="G8" s="28" t="n">
        <v>0.036</v>
      </c>
    </row>
    <row r="9" ht="18" customHeight="1">
      <c r="B9" s="30" t="inlineStr">
        <is>
          <t>Books</t>
        </is>
      </c>
      <c r="C9" s="21" t="n">
        <v>522</v>
      </c>
      <c r="D9" s="22" t="n">
        <v>646373</v>
      </c>
      <c r="E9" s="22" t="n">
        <v>240944</v>
      </c>
      <c r="F9" s="23" t="n">
        <v>0.373</v>
      </c>
      <c r="G9" s="23" t="n">
        <v>0.034</v>
      </c>
    </row>
    <row r="10" ht="18" customHeight="1">
      <c r="B10" s="31" t="inlineStr">
        <is>
          <t>Grocery</t>
        </is>
      </c>
      <c r="C10" s="26" t="n">
        <v>383</v>
      </c>
      <c r="D10" s="27" t="n">
        <v>398009</v>
      </c>
      <c r="E10" s="27" t="n">
        <v>162342</v>
      </c>
      <c r="F10" s="28" t="n">
        <v>0.408</v>
      </c>
      <c r="G10" s="28" t="n">
        <v>0.032</v>
      </c>
    </row>
  </sheetData>
  <mergeCells count="1">
    <mergeCell ref="B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6" customWidth="1" min="4" max="4"/>
    <col width="18" customWidth="1" min="5" max="5"/>
    <col width="18" customWidth="1" min="6" max="6"/>
    <col width="18" customWidth="1" min="7" max="7"/>
    <col width="3" customWidth="1" min="8" max="8"/>
  </cols>
  <sheetData>
    <row r="1" ht="28" customHeight="1">
      <c r="B1" s="18" t="inlineStr">
        <is>
          <t>RFM Customer Segmentation Analysis</t>
        </is>
      </c>
    </row>
    <row r="2" ht="18" customHeight="1">
      <c r="B2" s="32" t="inlineStr">
        <is>
          <t>RFM = Recency (days since last order) + Frequency (number of orders) + Monetary (total spend). Score 1–5 each.</t>
        </is>
      </c>
    </row>
    <row r="3">
      <c r="B3" s="19" t="inlineStr">
        <is>
          <t>Segment</t>
        </is>
      </c>
      <c r="C3" s="19" t="inlineStr">
        <is>
          <t>Customers</t>
        </is>
      </c>
      <c r="D3" s="19" t="inlineStr">
        <is>
          <t>Avg Orders</t>
        </is>
      </c>
      <c r="E3" s="19" t="inlineStr">
        <is>
          <t>Avg Spend (₹)</t>
        </is>
      </c>
      <c r="F3" s="19" t="inlineStr">
        <is>
          <t>Total Spend (₹)</t>
        </is>
      </c>
      <c r="G3" s="19" t="inlineStr">
        <is>
          <t>% of Revenue</t>
        </is>
      </c>
    </row>
    <row r="4" ht="20" customHeight="1">
      <c r="B4" s="33" t="inlineStr">
        <is>
          <t>Champions</t>
        </is>
      </c>
      <c r="C4" s="21" t="n">
        <v>155</v>
      </c>
      <c r="D4" s="34" t="n">
        <v>5.2</v>
      </c>
      <c r="E4" s="22" t="n">
        <v>133213</v>
      </c>
      <c r="F4" s="22" t="n">
        <v>20647997</v>
      </c>
      <c r="G4" s="23" t="n">
        <v>0.51</v>
      </c>
    </row>
    <row r="5" ht="20" customHeight="1">
      <c r="B5" s="35" t="inlineStr">
        <is>
          <t>Loyal Customers</t>
        </is>
      </c>
      <c r="C5" s="26" t="n">
        <v>210</v>
      </c>
      <c r="D5" s="36" t="n">
        <v>3.1</v>
      </c>
      <c r="E5" s="27" t="n">
        <v>77362</v>
      </c>
      <c r="F5" s="27" t="n">
        <v>16246124</v>
      </c>
      <c r="G5" s="28" t="n">
        <v>0.401</v>
      </c>
    </row>
    <row r="6" ht="20" customHeight="1">
      <c r="B6" s="37" t="inlineStr">
        <is>
          <t>Potential Loyalists</t>
        </is>
      </c>
      <c r="C6" s="21" t="n">
        <v>102</v>
      </c>
      <c r="D6" s="34" t="n">
        <v>2</v>
      </c>
      <c r="E6" s="22" t="n">
        <v>32998</v>
      </c>
      <c r="F6" s="22" t="n">
        <v>3365759</v>
      </c>
      <c r="G6" s="23" t="n">
        <v>0.083</v>
      </c>
    </row>
    <row r="7" ht="20" customHeight="1">
      <c r="B7" s="38" t="inlineStr">
        <is>
          <t>At Risk</t>
        </is>
      </c>
      <c r="C7" s="26" t="n">
        <v>19</v>
      </c>
      <c r="D7" s="36" t="n">
        <v>1.1</v>
      </c>
      <c r="E7" s="27" t="n">
        <v>10485</v>
      </c>
      <c r="F7" s="27" t="n">
        <v>199218</v>
      </c>
      <c r="G7" s="28" t="n">
        <v>0.005</v>
      </c>
    </row>
    <row r="8" ht="20" customHeight="1">
      <c r="B8" s="39" t="inlineStr">
        <is>
          <t>Lost</t>
        </is>
      </c>
      <c r="C8" s="21" t="n">
        <v>6</v>
      </c>
      <c r="D8" s="34" t="n">
        <v>1</v>
      </c>
      <c r="E8" s="22" t="n">
        <v>4203</v>
      </c>
      <c r="F8" s="22" t="n">
        <v>25220</v>
      </c>
      <c r="G8" s="23" t="n">
        <v>0.001</v>
      </c>
    </row>
  </sheetData>
  <mergeCells count="2">
    <mergeCell ref="B2:G2"/>
    <mergeCell ref="B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4" customWidth="1" min="4" max="4"/>
    <col width="16" customWidth="1" min="5" max="5"/>
    <col width="14" customWidth="1" min="6" max="6"/>
    <col width="18" customWidth="1" min="7" max="7"/>
    <col width="3" customWidth="1" min="8" max="8"/>
  </cols>
  <sheetData>
    <row r="1" ht="28" customHeight="1">
      <c r="B1" s="18" t="inlineStr">
        <is>
          <t>Revenue &amp; Profitability by City</t>
        </is>
      </c>
    </row>
    <row r="2">
      <c r="B2" s="19" t="inlineStr">
        <is>
          <t>City</t>
        </is>
      </c>
      <c r="C2" s="19" t="inlineStr">
        <is>
          <t>Customers</t>
        </is>
      </c>
      <c r="D2" s="19" t="inlineStr">
        <is>
          <t>Orders</t>
        </is>
      </c>
      <c r="E2" s="19" t="inlineStr">
        <is>
          <t>Revenue (₹)</t>
        </is>
      </c>
      <c r="F2" s="19" t="inlineStr">
        <is>
          <t>Profit (₹)</t>
        </is>
      </c>
      <c r="G2" s="19" t="inlineStr">
        <is>
          <t>Rev/Customer (₹)</t>
        </is>
      </c>
    </row>
    <row r="3" ht="18" customHeight="1">
      <c r="B3" s="30" t="inlineStr">
        <is>
          <t>Chennai</t>
        </is>
      </c>
      <c r="C3" s="21" t="n">
        <v>62</v>
      </c>
      <c r="D3" s="21" t="n">
        <v>234</v>
      </c>
      <c r="E3" s="22" t="n">
        <v>6124250</v>
      </c>
      <c r="F3" s="22" t="n">
        <v>2355638</v>
      </c>
      <c r="G3" s="22" t="n">
        <v>98778</v>
      </c>
    </row>
    <row r="4" ht="18" customHeight="1">
      <c r="B4" s="31" t="inlineStr">
        <is>
          <t>Kolkata</t>
        </is>
      </c>
      <c r="C4" s="26" t="n">
        <v>66</v>
      </c>
      <c r="D4" s="26" t="n">
        <v>220</v>
      </c>
      <c r="E4" s="27" t="n">
        <v>5438551</v>
      </c>
      <c r="F4" s="27" t="n">
        <v>2155064</v>
      </c>
      <c r="G4" s="27" t="n">
        <v>82402</v>
      </c>
    </row>
    <row r="5" ht="18" customHeight="1">
      <c r="B5" s="30" t="inlineStr">
        <is>
          <t>Pune</t>
        </is>
      </c>
      <c r="C5" s="21" t="n">
        <v>64</v>
      </c>
      <c r="D5" s="21" t="n">
        <v>231</v>
      </c>
      <c r="E5" s="22" t="n">
        <v>5429090</v>
      </c>
      <c r="F5" s="22" t="n">
        <v>2142830</v>
      </c>
      <c r="G5" s="22" t="n">
        <v>84830</v>
      </c>
    </row>
    <row r="6" ht="18" customHeight="1">
      <c r="B6" s="31" t="inlineStr">
        <is>
          <t>Mumbai</t>
        </is>
      </c>
      <c r="C6" s="26" t="n">
        <v>58</v>
      </c>
      <c r="D6" s="26" t="n">
        <v>212</v>
      </c>
      <c r="E6" s="27" t="n">
        <v>5036488</v>
      </c>
      <c r="F6" s="27" t="n">
        <v>1997806</v>
      </c>
      <c r="G6" s="27" t="n">
        <v>86836</v>
      </c>
    </row>
    <row r="7" ht="18" customHeight="1">
      <c r="B7" s="30" t="inlineStr">
        <is>
          <t>Delhi</t>
        </is>
      </c>
      <c r="C7" s="21" t="n">
        <v>63</v>
      </c>
      <c r="D7" s="21" t="n">
        <v>209</v>
      </c>
      <c r="E7" s="22" t="n">
        <v>4994585</v>
      </c>
      <c r="F7" s="22" t="n">
        <v>1945172</v>
      </c>
      <c r="G7" s="22" t="n">
        <v>79279</v>
      </c>
    </row>
    <row r="8" ht="18" customHeight="1">
      <c r="B8" s="31" t="inlineStr">
        <is>
          <t>Ahmedabad</t>
        </is>
      </c>
      <c r="C8" s="26" t="n">
        <v>69</v>
      </c>
      <c r="D8" s="26" t="n">
        <v>227</v>
      </c>
      <c r="E8" s="27" t="n">
        <v>4902531</v>
      </c>
      <c r="F8" s="27" t="n">
        <v>1849450</v>
      </c>
      <c r="G8" s="27" t="n">
        <v>71051</v>
      </c>
    </row>
    <row r="9" ht="18" customHeight="1">
      <c r="B9" s="30" t="inlineStr">
        <is>
          <t>Hyderabad</t>
        </is>
      </c>
      <c r="C9" s="21" t="n">
        <v>61</v>
      </c>
      <c r="D9" s="21" t="n">
        <v>197</v>
      </c>
      <c r="E9" s="22" t="n">
        <v>4832107</v>
      </c>
      <c r="F9" s="22" t="n">
        <v>1926014</v>
      </c>
      <c r="G9" s="22" t="n">
        <v>79215</v>
      </c>
    </row>
    <row r="10" ht="18" customHeight="1">
      <c r="B10" s="31" t="inlineStr">
        <is>
          <t>Bengaluru</t>
        </is>
      </c>
      <c r="C10" s="26" t="n">
        <v>49</v>
      </c>
      <c r="D10" s="26" t="n">
        <v>160</v>
      </c>
      <c r="E10" s="27" t="n">
        <v>3726716</v>
      </c>
      <c r="F10" s="27" t="n">
        <v>1455531</v>
      </c>
      <c r="G10" s="27" t="n">
        <v>76055</v>
      </c>
    </row>
  </sheetData>
  <mergeCells count="1"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2026-05-21T12:14:29Z</dcterms:created>
  <dcterms:modified xmlns:dcterms="http://purl.org/dc/terms/" xmlns:xsi="http://www.w3.org/2001/XMLSchema-instance" xsi:type="dcterms:W3CDTF">2026-05-21T12:14:29Z</dcterms:modified>
</cp:coreProperties>
</file>